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workbookPr filterPrivacy="1"/>
  <xr:revisionPtr revIDLastSave="0" documentId="13_ncr:1_{1A9502B5-F537-444C-8BF4-034B2C424B93}" xr6:coauthVersionLast="43" xr6:coauthVersionMax="43" xr10:uidLastSave="{00000000-0000-0000-0000-000000000000}"/>
  <bookViews>
    <workbookView xWindow="28680" yWindow="-120" windowWidth="29040" windowHeight="18240" xr2:uid="{00000000-000D-0000-FFFF-FFFF00000000}"/>
  </bookViews>
  <sheets>
    <sheet name="Explanation" sheetId="2" r:id="rId1"/>
    <sheet name="Results" sheetId="1" r:id="rId2"/>
    <sheet name="Counts" sheetId="3" r:id="rId3"/>
  </sheets>
  <definedNames>
    <definedName name="_xlnm._FilterDatabase" localSheetId="1" hidden="1">Results!$A$1:$F$1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 i="3" l="1"/>
  <c r="J2" i="3"/>
  <c r="I2" i="3"/>
  <c r="T2" i="3" l="1"/>
  <c r="S2" i="3"/>
  <c r="R2" i="3"/>
  <c r="Q2" i="3"/>
  <c r="P2" i="3"/>
  <c r="O2" i="3"/>
  <c r="N2" i="3"/>
  <c r="M2" i="3"/>
  <c r="L2" i="3"/>
</calcChain>
</file>

<file path=xl/sharedStrings.xml><?xml version="1.0" encoding="utf-8"?>
<sst xmlns="http://schemas.openxmlformats.org/spreadsheetml/2006/main" count="77" uniqueCount="68">
  <si>
    <t>AP Name</t>
  </si>
  <si>
    <t>Issue</t>
  </si>
  <si>
    <t>AP Level</t>
  </si>
  <si>
    <t>Issue Category</t>
  </si>
  <si>
    <t>Elevation</t>
  </si>
  <si>
    <t>Location</t>
  </si>
  <si>
    <t>Backboard</t>
  </si>
  <si>
    <t>Label</t>
  </si>
  <si>
    <t>Cabling</t>
  </si>
  <si>
    <t>Obstruction</t>
  </si>
  <si>
    <t>Equipment</t>
  </si>
  <si>
    <t>Broadcast</t>
  </si>
  <si>
    <t>Safety Wire</t>
  </si>
  <si>
    <t>Total APs Audited</t>
  </si>
  <si>
    <t>WHID</t>
  </si>
  <si>
    <t>XXXX</t>
  </si>
  <si>
    <t>Survey Type</t>
  </si>
  <si>
    <t>Benchmark Survey</t>
  </si>
  <si>
    <t>100% Placement Survey</t>
  </si>
  <si>
    <t>75% Inventory Survey</t>
  </si>
  <si>
    <t>Region</t>
  </si>
  <si>
    <t>North America</t>
  </si>
  <si>
    <t>Europe</t>
  </si>
  <si>
    <t>South America</t>
  </si>
  <si>
    <t>Date Performed</t>
  </si>
  <si>
    <t>Site Type</t>
  </si>
  <si>
    <t>Central America</t>
  </si>
  <si>
    <t>Asia Pacific</t>
  </si>
  <si>
    <t>Action</t>
  </si>
  <si>
    <t>AEN</t>
  </si>
  <si>
    <t>Air Gateway</t>
  </si>
  <si>
    <t>AMZL</t>
  </si>
  <si>
    <t xml:space="preserve">AR SCT </t>
  </si>
  <si>
    <t xml:space="preserve">AR Sortable </t>
  </si>
  <si>
    <t>AR Sortation Center</t>
  </si>
  <si>
    <t>AR SSD</t>
  </si>
  <si>
    <t>ARS</t>
  </si>
  <si>
    <t>Fulfillment Center</t>
  </si>
  <si>
    <t>Hazmat</t>
  </si>
  <si>
    <t>Make On-Demand</t>
  </si>
  <si>
    <t>Mixed Sortable</t>
  </si>
  <si>
    <t>Mixed Sortation Center</t>
  </si>
  <si>
    <t>Mixed Use</t>
  </si>
  <si>
    <t>Non AR Sortable</t>
  </si>
  <si>
    <t>Non Sortable</t>
  </si>
  <si>
    <t>Prime Now</t>
  </si>
  <si>
    <t>Sortable</t>
  </si>
  <si>
    <t>Sortation Center</t>
  </si>
  <si>
    <t>TNS</t>
  </si>
  <si>
    <t>Vendor Flex</t>
  </si>
  <si>
    <t>XLFC</t>
  </si>
  <si>
    <t>LVC</t>
  </si>
  <si>
    <t>IT</t>
  </si>
  <si>
    <t>Attention</t>
  </si>
  <si>
    <t>(no bullet points, find and  replace " • ")</t>
  </si>
  <si>
    <t>No Issues</t>
  </si>
  <si>
    <t>With Issues</t>
  </si>
  <si>
    <t>LVC Issues</t>
  </si>
  <si>
    <t>IT Issues</t>
  </si>
  <si>
    <t>Attention Issues</t>
  </si>
  <si>
    <t>AMXL</t>
  </si>
  <si>
    <t>Issue Type</t>
  </si>
  <si>
    <t>The results of the audit will be defined by one of four categories:</t>
  </si>
  <si>
    <r>
      <rPr>
        <b/>
        <sz val="11"/>
        <color rgb="FF00B0F0"/>
        <rFont val="Calibri"/>
        <family val="2"/>
        <scheme val="minor"/>
      </rPr>
      <t>Attention Issue</t>
    </r>
    <r>
      <rPr>
        <sz val="11"/>
        <color theme="1"/>
        <rFont val="Calibri"/>
        <family val="2"/>
        <scheme val="minor"/>
      </rPr>
      <t>: Something was observed that is not ideal or deviates from the intended plan/method, 
but will not have a negative effect on the performance of the WLAN and/or has no reasonable resolution. 
No remediation action will be provided in these cases, the goal will be simply to document the issue so that it may be referenced in the future. 
These issues will be marked in blue when detailed in images/diagrams.</t>
    </r>
  </si>
  <si>
    <r>
      <rPr>
        <b/>
        <sz val="11"/>
        <color rgb="FFFF0000"/>
        <rFont val="Calibri"/>
        <family val="2"/>
        <scheme val="minor"/>
      </rPr>
      <t>LVC Issue</t>
    </r>
    <r>
      <rPr>
        <sz val="11"/>
        <color theme="1"/>
        <rFont val="Calibri"/>
        <family val="2"/>
        <scheme val="minor"/>
      </rPr>
      <t>: A problem was observed that relates to the physical installation of the WAP. Typically falls under LVC responsibility to resolve. 
These issues will be marked in red when detailed in images/diagrams.</t>
    </r>
  </si>
  <si>
    <r>
      <rPr>
        <b/>
        <sz val="11"/>
        <color rgb="FFFFC000"/>
        <rFont val="Calibri"/>
        <family val="2"/>
        <scheme val="minor"/>
      </rPr>
      <t>IT Issue</t>
    </r>
    <r>
      <rPr>
        <sz val="11"/>
        <color theme="1"/>
        <rFont val="Calibri"/>
        <family val="2"/>
        <scheme val="minor"/>
      </rPr>
      <t>: A problem related to either the WAP device itself or the passively available configuration details. 
Also included are installations damaged after original installation. Generally, it will be the local IT team’s responsibility to resolve. 
These issues will be marked in orange when detailed in images/diagrams.</t>
    </r>
  </si>
  <si>
    <r>
      <rPr>
        <b/>
        <sz val="11"/>
        <color rgb="FF92D050"/>
        <rFont val="Calibri"/>
        <family val="2"/>
        <scheme val="minor"/>
      </rPr>
      <t>No Issue</t>
    </r>
    <r>
      <rPr>
        <sz val="11"/>
        <color theme="1"/>
        <rFont val="Calibri"/>
        <family val="2"/>
        <scheme val="minor"/>
      </rPr>
      <t>:  The WAP installation, device, and configuration are all satisfactory. No remediation required. 
These issues will be marked in green when detailed in images/diagrams.</t>
    </r>
  </si>
  <si>
    <t>XX/XX/2019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</si>
</sst>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b/>
      <sz val="11"/>
      <color theme="1"/>
      <name val="Calibri"/>
      <family val="2"/>
      <scheme val="minor"/>
    </font>
    <font>
      <sz val="11"/>
      <name val="Calibri"/>
      <family val="2"/>
      <scheme val="minor"/>
    </font>
    <font>
      <sz val="11"/>
      <color theme="1"/>
      <name val="Courier New"/>
      <family val="3"/>
    </font>
    <font>
      <sz val="11"/>
      <color theme="1"/>
      <name val="Calibri Light"/>
      <family val="2"/>
      <scheme val="major"/>
    </font>
    <font>
      <b/>
      <sz val="11"/>
      <color rgb="FFFF0000"/>
      <name val="Calibri"/>
      <family val="2"/>
      <scheme val="minor"/>
    </font>
    <font>
      <b/>
      <sz val="11"/>
      <color rgb="FFFFC000"/>
      <name val="Calibri"/>
      <family val="2"/>
      <scheme val="minor"/>
    </font>
    <font>
      <b/>
      <sz val="11"/>
      <color rgb="FF00B0F0"/>
      <name val="Calibri"/>
      <family val="2"/>
      <scheme val="minor"/>
    </font>
    <font>
      <b/>
      <sz val="11"/>
      <color rgb="FF92D05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rgb="FFFFC000"/>
        <bgColor indexed="64"/>
      </patternFill>
    </fill>
    <fill>
      <patternFill patternType="solid">
        <fgColor rgb="FFFF0000"/>
        <bgColor indexed="64"/>
      </patternFill>
    </fill>
    <fill>
      <patternFill patternType="solid">
        <fgColor rgb="FF00B0F0"/>
        <bgColor indexed="64"/>
      </patternFill>
    </fill>
  </fills>
  <borders count="1">
    <border>
      <left/>
      <right/>
      <top/>
      <bottom/>
      <diagonal/>
    </border>
  </borders>
  <cellStyleXfs count="1">
    <xf numFmtId="0" fontId="0" fillId="0" borderId="0"/>
  </cellStyleXfs>
  <cellXfs count="15">
    <xf numFmtId="0" fontId="0" fillId="0" borderId="0" xfId="0"/>
    <xf numFmtId="0" fontId="1" fillId="2" borderId="0" xfId="0" applyFont="1" applyFill="1"/>
    <xf numFmtId="0" fontId="1" fillId="2" borderId="0" xfId="0" applyFont="1" applyFill="1" applyAlignment="1">
      <alignment horizontal="left"/>
    </xf>
    <xf numFmtId="0" fontId="0" fillId="0" borderId="0" xfId="0" applyAlignment="1">
      <alignment horizontal="left"/>
    </xf>
    <xf numFmtId="0" fontId="0" fillId="0" borderId="0" xfId="0" applyAlignment="1">
      <alignment horizontal="center"/>
    </xf>
    <xf numFmtId="0" fontId="2" fillId="4" borderId="0" xfId="0" applyFont="1" applyFill="1" applyAlignment="1">
      <alignment horizontal="left"/>
    </xf>
    <xf numFmtId="0" fontId="0" fillId="3" borderId="0" xfId="0" applyFill="1" applyAlignment="1">
      <alignment horizontal="left"/>
    </xf>
    <xf numFmtId="0" fontId="0" fillId="5" borderId="0" xfId="0" applyFill="1" applyAlignment="1">
      <alignment horizontal="left"/>
    </xf>
    <xf numFmtId="0" fontId="1" fillId="2" borderId="0" xfId="0" applyFont="1"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1" fillId="2" borderId="0" xfId="0" applyFont="1" applyFill="1" applyAlignment="1">
      <alignment horizontal="center"/>
    </xf>
    <xf numFmtId="0" fontId="3" fillId="0" borderId="0" xfId="0" applyFont="1" applyAlignment="1">
      <alignment horizontal="left" vertical="center"/>
    </xf>
    <xf numFmtId="0" fontId="4" fillId="0" borderId="0" xfId="0" applyFont="1" applyAlignment="1">
      <alignment horizontal="left" vertical="center"/>
    </xf>
    <xf numFmtId="0" fontId="0" fillId="0" borderId="0" xfId="0" applyAlignment="1">
      <alignment wrapText="1"/>
    </xf>
  </cellXfs>
  <cellStyles count="1">
    <cellStyle name="Normal" xfId="0" builtinId="0"/>
  </cellStyles>
  <dxfs count="7">
    <dxf>
      <fill>
        <patternFill>
          <bgColor rgb="FFFFC000"/>
        </patternFill>
      </fill>
    </dxf>
    <dxf>
      <fill>
        <patternFill>
          <bgColor rgb="FFFF0000"/>
        </patternFill>
      </fill>
    </dxf>
    <dxf>
      <fill>
        <patternFill>
          <bgColor rgb="FF00B0F0"/>
        </patternFill>
      </fill>
    </dxf>
    <dxf>
      <fill>
        <patternFill>
          <bgColor rgb="FFFF0000"/>
        </patternFill>
      </fill>
    </dxf>
    <dxf>
      <fill>
        <patternFill>
          <bgColor rgb="FFFF5050"/>
        </patternFill>
      </fill>
    </dxf>
    <dxf>
      <fill>
        <patternFill>
          <bgColor rgb="FFFFC000"/>
        </patternFill>
      </fill>
    </dxf>
    <dxf>
      <fill>
        <patternFill>
          <bgColor theme="4" tint="0.39994506668294322"/>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DAE69-28FE-4CFC-8D89-060F33AED623}">
  <dimension ref="A1:B5"/>
  <sheetViews>
    <sheetView tabSelected="1" workbookViewId="0">
      <selection activeCell="B15" sqref="B15"/>
    </sheetView>
  </sheetViews>
  <sheetFormatPr defaultRowHeight="15" x14ac:dyDescent="0.25"/>
  <cols>
    <col min="1" max="1" width="6.140625" customWidth="1"/>
    <col min="2" max="2" width="135.42578125" customWidth="1"/>
  </cols>
  <sheetData>
    <row r="1" spans="1:2" x14ac:dyDescent="0.25">
      <c r="A1" s="13" t="s">
        <v>62</v>
      </c>
    </row>
    <row r="2" spans="1:2" ht="30" x14ac:dyDescent="0.25">
      <c r="A2" s="12"/>
      <c r="B2" s="14" t="s">
        <v>64</v>
      </c>
    </row>
    <row r="3" spans="1:2" ht="45" x14ac:dyDescent="0.25">
      <c r="A3" s="12"/>
      <c r="B3" s="14" t="s">
        <v>65</v>
      </c>
    </row>
    <row r="4" spans="1:2" ht="60" x14ac:dyDescent="0.25">
      <c r="B4" s="14" t="s">
        <v>63</v>
      </c>
    </row>
    <row r="5" spans="1:2" ht="30" x14ac:dyDescent="0.25">
      <c r="B5" s="14" t="s">
        <v>66</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10"/>
  <sheetViews>
    <sheetView workbookViewId="0">
      <pane ySplit="1" topLeftCell="A2" activePane="bottomLeft" state="frozen"/>
      <selection pane="bottomLeft" activeCell="D19" sqref="D19"/>
    </sheetView>
  </sheetViews>
  <sheetFormatPr defaultRowHeight="15" x14ac:dyDescent="0.25"/>
  <cols>
    <col min="1" max="1" width="14.42578125" style="10" bestFit="1" customWidth="1"/>
    <col min="2" max="2" width="10.85546875" style="10" bestFit="1" customWidth="1"/>
    <col min="3" max="3" width="16.28515625" style="10" bestFit="1" customWidth="1"/>
    <col min="4" max="5" width="42.85546875" customWidth="1"/>
    <col min="6" max="6" width="14.28515625" style="3" customWidth="1"/>
    <col min="8" max="8" width="27.7109375" bestFit="1" customWidth="1"/>
    <col min="9" max="9" width="11.5703125" bestFit="1" customWidth="1"/>
  </cols>
  <sheetData>
    <row r="1" spans="1:9" s="1" customFormat="1" x14ac:dyDescent="0.25">
      <c r="A1" s="11" t="s">
        <v>0</v>
      </c>
      <c r="B1" s="11" t="s">
        <v>2</v>
      </c>
      <c r="C1" s="11" t="s">
        <v>3</v>
      </c>
      <c r="D1" s="1" t="s">
        <v>1</v>
      </c>
      <c r="E1" s="1" t="s">
        <v>28</v>
      </c>
      <c r="F1" s="2" t="s">
        <v>61</v>
      </c>
    </row>
    <row r="2" spans="1:9" x14ac:dyDescent="0.25">
      <c r="B2" s="10">
        <v>1</v>
      </c>
      <c r="C2" s="10" t="s">
        <v>6</v>
      </c>
      <c r="D2" t="s">
        <v>54</v>
      </c>
      <c r="F2" s="5" t="s">
        <v>51</v>
      </c>
      <c r="I2" s="3"/>
    </row>
    <row r="3" spans="1:9" x14ac:dyDescent="0.25">
      <c r="B3" s="10">
        <v>2</v>
      </c>
      <c r="C3" s="10" t="s">
        <v>11</v>
      </c>
      <c r="F3" s="6" t="s">
        <v>52</v>
      </c>
      <c r="I3" s="3"/>
    </row>
    <row r="4" spans="1:9" x14ac:dyDescent="0.25">
      <c r="B4" s="10">
        <v>3</v>
      </c>
      <c r="C4" s="10" t="s">
        <v>8</v>
      </c>
      <c r="F4" s="7" t="s">
        <v>53</v>
      </c>
      <c r="I4" s="3"/>
    </row>
    <row r="5" spans="1:9" x14ac:dyDescent="0.25">
      <c r="B5" s="10">
        <v>4</v>
      </c>
      <c r="C5" s="10" t="s">
        <v>4</v>
      </c>
      <c r="I5" s="3"/>
    </row>
    <row r="6" spans="1:9" x14ac:dyDescent="0.25">
      <c r="B6" s="10">
        <v>5</v>
      </c>
      <c r="C6" s="10" t="s">
        <v>10</v>
      </c>
    </row>
    <row r="7" spans="1:9" x14ac:dyDescent="0.25">
      <c r="C7" s="10" t="s">
        <v>7</v>
      </c>
    </row>
    <row r="8" spans="1:9" x14ac:dyDescent="0.25">
      <c r="C8" s="10" t="s">
        <v>5</v>
      </c>
    </row>
    <row r="9" spans="1:9" x14ac:dyDescent="0.25">
      <c r="C9" s="10" t="s">
        <v>9</v>
      </c>
    </row>
    <row r="10" spans="1:9" x14ac:dyDescent="0.25">
      <c r="C10" s="10" t="s">
        <v>12</v>
      </c>
    </row>
  </sheetData>
  <autoFilter ref="A1:F1" xr:uid="{B43687A0-F17C-4F84-A706-55638E751FB8}"/>
  <conditionalFormatting sqref="F1:F1048576">
    <cfRule type="cellIs" dxfId="1" priority="3" operator="equal">
      <formula>"LVC"</formula>
    </cfRule>
    <cfRule type="cellIs" dxfId="2" priority="2" operator="equal">
      <formula>"Attention"</formula>
    </cfRule>
    <cfRule type="cellIs" dxfId="0" priority="1" operator="equal">
      <formula>"IT"</formula>
    </cfRule>
  </conditionalFormatting>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2CF66-9CBB-46A7-8554-08CF6C8AC290}">
  <dimension ref="A1:T24"/>
  <sheetViews>
    <sheetView workbookViewId="0">
      <pane ySplit="1" topLeftCell="A2" activePane="bottomLeft" state="frozen"/>
      <selection pane="bottomLeft" activeCell="E8" sqref="E8"/>
    </sheetView>
  </sheetViews>
  <sheetFormatPr defaultRowHeight="15" x14ac:dyDescent="0.25"/>
  <cols>
    <col min="1" max="1" width="9.140625" style="4"/>
    <col min="2" max="2" width="22" style="4" bestFit="1" customWidth="1"/>
    <col min="3" max="3" width="15.7109375" style="4" customWidth="1"/>
    <col min="4" max="4" width="22.28515625" style="4" bestFit="1" customWidth="1"/>
    <col min="5" max="5" width="15.28515625" style="4" bestFit="1" customWidth="1"/>
    <col min="6" max="6" width="19.85546875" style="4" customWidth="1"/>
    <col min="7" max="7" width="18" style="4" customWidth="1"/>
    <col min="8" max="10" width="14.28515625" style="4" customWidth="1"/>
    <col min="11" max="11" width="16" style="4" customWidth="1"/>
    <col min="12" max="20" width="11.42578125" style="4" customWidth="1"/>
  </cols>
  <sheetData>
    <row r="1" spans="1:20" s="1" customFormat="1" x14ac:dyDescent="0.25">
      <c r="A1" s="8" t="s">
        <v>14</v>
      </c>
      <c r="B1" s="8" t="s">
        <v>25</v>
      </c>
      <c r="C1" s="8" t="s">
        <v>20</v>
      </c>
      <c r="D1" s="8" t="s">
        <v>16</v>
      </c>
      <c r="E1" s="8" t="s">
        <v>24</v>
      </c>
      <c r="F1" s="8" t="s">
        <v>13</v>
      </c>
      <c r="G1" s="8" t="s">
        <v>55</v>
      </c>
      <c r="H1" s="8" t="s">
        <v>56</v>
      </c>
      <c r="I1" s="8" t="s">
        <v>57</v>
      </c>
      <c r="J1" s="8" t="s">
        <v>58</v>
      </c>
      <c r="K1" s="8" t="s">
        <v>59</v>
      </c>
      <c r="L1" s="8" t="s">
        <v>6</v>
      </c>
      <c r="M1" s="8" t="s">
        <v>11</v>
      </c>
      <c r="N1" s="8" t="s">
        <v>8</v>
      </c>
      <c r="O1" s="8" t="s">
        <v>4</v>
      </c>
      <c r="P1" s="8" t="s">
        <v>10</v>
      </c>
      <c r="Q1" s="8" t="s">
        <v>7</v>
      </c>
      <c r="R1" s="8" t="s">
        <v>5</v>
      </c>
      <c r="S1" s="8" t="s">
        <v>9</v>
      </c>
      <c r="T1" s="8" t="s">
        <v>12</v>
      </c>
    </row>
    <row r="2" spans="1:20" x14ac:dyDescent="0.25">
      <c r="A2" s="4" t="s">
        <v>15</v>
      </c>
      <c r="B2" s="4" t="s">
        <v>29</v>
      </c>
      <c r="C2" s="4" t="s">
        <v>21</v>
      </c>
      <c r="D2" s="4" t="s">
        <v>17</v>
      </c>
      <c r="E2" s="9" t="s">
        <v>67</v>
      </c>
      <c r="F2" s="4">
        <v>0</v>
      </c>
      <c r="G2" s="4">
        <v>0</v>
      </c>
      <c r="H2" s="4">
        <v>0</v>
      </c>
      <c r="I2" s="4">
        <f>COUNTIF(Results!F2:F10000,"LVC")</f>
        <v>1</v>
      </c>
      <c r="J2" s="4">
        <f>COUNTIF(Results!F2:F10000,"IT")</f>
        <v>1</v>
      </c>
      <c r="K2" s="4">
        <f>COUNTIF(Results!F2:F10000,"Attention")</f>
        <v>1</v>
      </c>
      <c r="L2" s="4">
        <f>COUNTIF(Results!C2:C10000,"Backboard")</f>
        <v>1</v>
      </c>
      <c r="M2" s="4">
        <f>COUNTIF(Results!C2:C10000,"Broadcast")</f>
        <v>1</v>
      </c>
      <c r="N2" s="4">
        <f>COUNTIF(Results!C2:C10000,"Cabling")</f>
        <v>1</v>
      </c>
      <c r="O2" s="4">
        <f>COUNTIF(Results!C2:C10000,"Elevation")</f>
        <v>1</v>
      </c>
      <c r="P2" s="4">
        <f>COUNTIF(Results!C2:C10000,"Equipment")</f>
        <v>1</v>
      </c>
      <c r="Q2" s="4">
        <f>COUNTIF(Results!C2:C10000,"Label")</f>
        <v>1</v>
      </c>
      <c r="R2" s="4">
        <f>COUNTIF(Results!C2:C10000,"Location")</f>
        <v>1</v>
      </c>
      <c r="S2" s="4">
        <f>COUNTIF(Results!C2:C10000,"Obstruction")</f>
        <v>1</v>
      </c>
      <c r="T2" s="4">
        <f>COUNTIF(Results!C2:C10000,"Safety Wire")</f>
        <v>1</v>
      </c>
    </row>
    <row r="3" spans="1:20" x14ac:dyDescent="0.25">
      <c r="B3" s="4" t="s">
        <v>30</v>
      </c>
      <c r="C3" s="4" t="s">
        <v>22</v>
      </c>
      <c r="D3" s="4" t="s">
        <v>18</v>
      </c>
    </row>
    <row r="4" spans="1:20" x14ac:dyDescent="0.25">
      <c r="B4" s="4" t="s">
        <v>31</v>
      </c>
      <c r="C4" s="4" t="s">
        <v>27</v>
      </c>
      <c r="D4" s="4" t="s">
        <v>19</v>
      </c>
    </row>
    <row r="5" spans="1:20" x14ac:dyDescent="0.25">
      <c r="B5" s="4" t="s">
        <v>32</v>
      </c>
      <c r="C5" s="4" t="s">
        <v>23</v>
      </c>
    </row>
    <row r="6" spans="1:20" x14ac:dyDescent="0.25">
      <c r="B6" s="4" t="s">
        <v>33</v>
      </c>
      <c r="C6" s="4" t="s">
        <v>26</v>
      </c>
    </row>
    <row r="7" spans="1:20" x14ac:dyDescent="0.25">
      <c r="B7" s="4" t="s">
        <v>34</v>
      </c>
    </row>
    <row r="8" spans="1:20" x14ac:dyDescent="0.25">
      <c r="B8" s="4" t="s">
        <v>35</v>
      </c>
    </row>
    <row r="9" spans="1:20" x14ac:dyDescent="0.25">
      <c r="B9" s="4" t="s">
        <v>36</v>
      </c>
    </row>
    <row r="10" spans="1:20" x14ac:dyDescent="0.25">
      <c r="B10" s="4" t="s">
        <v>37</v>
      </c>
    </row>
    <row r="11" spans="1:20" x14ac:dyDescent="0.25">
      <c r="B11" s="4" t="s">
        <v>38</v>
      </c>
    </row>
    <row r="12" spans="1:20" x14ac:dyDescent="0.25">
      <c r="B12" s="4" t="s">
        <v>39</v>
      </c>
    </row>
    <row r="13" spans="1:20" x14ac:dyDescent="0.25">
      <c r="B13" s="4" t="s">
        <v>40</v>
      </c>
    </row>
    <row r="14" spans="1:20" x14ac:dyDescent="0.25">
      <c r="B14" s="4" t="s">
        <v>41</v>
      </c>
    </row>
    <row r="15" spans="1:20" x14ac:dyDescent="0.25">
      <c r="B15" s="4" t="s">
        <v>42</v>
      </c>
    </row>
    <row r="16" spans="1:20" x14ac:dyDescent="0.25">
      <c r="B16" s="4" t="s">
        <v>43</v>
      </c>
    </row>
    <row r="17" spans="2:2" x14ac:dyDescent="0.25">
      <c r="B17" s="4" t="s">
        <v>44</v>
      </c>
    </row>
    <row r="18" spans="2:2" x14ac:dyDescent="0.25">
      <c r="B18" s="4" t="s">
        <v>45</v>
      </c>
    </row>
    <row r="19" spans="2:2" x14ac:dyDescent="0.25">
      <c r="B19" s="4" t="s">
        <v>46</v>
      </c>
    </row>
    <row r="20" spans="2:2" x14ac:dyDescent="0.25">
      <c r="B20" s="4" t="s">
        <v>47</v>
      </c>
    </row>
    <row r="21" spans="2:2" x14ac:dyDescent="0.25">
      <c r="B21" s="4" t="s">
        <v>48</v>
      </c>
    </row>
    <row r="22" spans="2:2" x14ac:dyDescent="0.25">
      <c r="B22" s="4" t="s">
        <v>49</v>
      </c>
    </row>
    <row r="23" spans="2:2" x14ac:dyDescent="0.25">
      <c r="B23" s="4" t="s">
        <v>50</v>
      </c>
    </row>
    <row r="24" spans="2:2" x14ac:dyDescent="0.25">
      <c r="B24" s="4" t="s">
        <v>60</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Explanation</vt:lpstr>
      <vt:lpstr>Results</vt:lpstr>
      <vt:lpstr>Counts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2019-08-15T18:04:06Z</dcterms:modified>
</cp:coreProperties>
</file>